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b32e2a2ea1aebb96/Рабочий стол/"/>
    </mc:Choice>
  </mc:AlternateContent>
  <xr:revisionPtr revIDLastSave="6" documentId="11_AD4DF75460589B3ACB728477C7DC47385ADEDD8F" xr6:coauthVersionLast="47" xr6:coauthVersionMax="47" xr10:uidLastSave="{FBDC11F8-80FE-4058-85FF-29D396A1B46A}"/>
  <bookViews>
    <workbookView xWindow="-108" yWindow="-108" windowWidth="23256" windowHeight="1245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5" i="1" l="1"/>
  <c r="F16" i="1" s="1"/>
  <c r="F17" i="1" s="1"/>
  <c r="F18" i="1" s="1"/>
  <c r="F19" i="1" s="1"/>
  <c r="F20" i="1" s="1"/>
  <c r="F22" i="1" s="1"/>
  <c r="F23" i="1" s="1"/>
  <c r="F24" i="1" s="1"/>
  <c r="F14" i="1"/>
  <c r="B15" i="1" s="1"/>
  <c r="B16" i="1" s="1"/>
  <c r="D16" i="1" s="1"/>
  <c r="C16" i="1"/>
  <c r="B14" i="1"/>
  <c r="F13" i="1"/>
  <c r="C14" i="1"/>
  <c r="C13" i="1"/>
  <c r="D21" i="1"/>
  <c r="D22" i="1"/>
  <c r="D23" i="1"/>
  <c r="D24" i="1"/>
  <c r="D17" i="1"/>
  <c r="D18" i="1"/>
  <c r="D19" i="1"/>
  <c r="D20" i="1"/>
  <c r="D14" i="1"/>
  <c r="D15" i="1"/>
  <c r="D13" i="1"/>
  <c r="F5" i="1"/>
  <c r="F3" i="1"/>
  <c r="B13" i="1"/>
  <c r="C9" i="1"/>
  <c r="C15" i="1" l="1"/>
  <c r="B17" i="1"/>
  <c r="B18" i="1" s="1"/>
  <c r="C17" i="1" l="1"/>
  <c r="B19" i="1"/>
  <c r="C18" i="1"/>
  <c r="B20" i="1" l="1"/>
  <c r="C19" i="1"/>
  <c r="C20" i="1" l="1"/>
  <c r="B22" i="1"/>
  <c r="C22" i="1" s="1"/>
  <c r="B23" i="1"/>
  <c r="C23" i="1"/>
  <c r="C24" i="1"/>
  <c r="B24" i="1"/>
  <c r="C21" i="1"/>
  <c r="B21" i="1"/>
</calcChain>
</file>

<file path=xl/sharedStrings.xml><?xml version="1.0" encoding="utf-8"?>
<sst xmlns="http://schemas.openxmlformats.org/spreadsheetml/2006/main" count="12" uniqueCount="12">
  <si>
    <t>сумма кредита</t>
  </si>
  <si>
    <t>ставка</t>
  </si>
  <si>
    <t>срок</t>
  </si>
  <si>
    <t>выплата</t>
  </si>
  <si>
    <t>период</t>
  </si>
  <si>
    <t>платёж</t>
  </si>
  <si>
    <t>на оплату процентов</t>
  </si>
  <si>
    <t>на выплату тела кредита</t>
  </si>
  <si>
    <t xml:space="preserve">дополнительно </t>
  </si>
  <si>
    <t>осталось выплатить</t>
  </si>
  <si>
    <t>сумма выплат</t>
  </si>
  <si>
    <t>сумма переплаты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</si>
</sst>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₽&quot;;[Red]\-#,##0.00\ &quot;₽&quot;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4" fontId="0" fillId="0" borderId="0" xfId="0" applyNumberFormat="1"/>
    <xf numFmtId="10" fontId="0" fillId="0" borderId="0" xfId="0" applyNumberFormat="1"/>
    <xf numFmtId="0" fontId="1" fillId="0" borderId="0" xfId="0" applyFont="1"/>
    <xf numFmtId="8" fontId="0" fillId="0" borderId="0" xfId="0" applyNumberFormat="1"/>
    <xf numFmtId="2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1" xfId="0" applyBorder="1"/>
    <xf numFmtId="9" fontId="0" fillId="0" borderId="1" xfId="0" applyNumberFormat="1" applyBorder="1"/>
    <xf numFmtId="8" fontId="0" fillId="0" borderId="1" xfId="0" applyNumberFormat="1" applyBorder="1"/>
    <xf numFmtId="0" fontId="1" fillId="0" borderId="0" xfId="0" applyFont="1" applyBorder="1"/>
    <xf numFmtId="0" fontId="0" fillId="0" borderId="0" xfId="0" applyBorder="1"/>
    <xf numFmtId="8" fontId="0" fillId="0" borderId="0" xfId="0" applyNumberFormat="1" applyBorder="1"/>
    <xf numFmtId="0" fontId="1" fillId="0" borderId="5" xfId="0" applyFont="1" applyBorder="1"/>
    <xf numFmtId="0" fontId="1" fillId="0" borderId="6" xfId="0" applyFont="1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8" fontId="0" fillId="0" borderId="6" xfId="0" applyNumberFormat="1" applyBorder="1"/>
    <xf numFmtId="8" fontId="1" fillId="0" borderId="0" xfId="0" applyNumberFormat="1" applyFont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G24"/>
  <sheetViews>
    <sheetView tabSelected="1" topLeftCell="A11" zoomScale="173" workbookViewId="0">
      <selection activeCell="B13" sqref="B13"/>
    </sheetView>
  </sheetViews>
  <sheetFormatPr defaultRowHeight="14.4" x14ac:dyDescent="0.3"/>
  <cols>
    <col min="1" max="7" width="20.44140625" customWidth="1"/>
  </cols>
  <sheetData>
    <row r="3" spans="1:7" x14ac:dyDescent="0.3">
      <c r="A3" s="23" t="s">
        <v>0</v>
      </c>
      <c r="B3" s="23"/>
      <c r="C3" s="5">
        <v>1000000</v>
      </c>
      <c r="D3" s="1"/>
      <c r="E3" t="s">
        <v>10</v>
      </c>
      <c r="F3" s="4">
        <f>C9*C7</f>
        <v>-1066185.4641401004</v>
      </c>
    </row>
    <row r="4" spans="1:7" ht="5.4" customHeight="1" x14ac:dyDescent="0.3">
      <c r="A4" s="6"/>
      <c r="B4" s="6"/>
      <c r="C4" s="7"/>
      <c r="D4" s="1"/>
    </row>
    <row r="5" spans="1:7" x14ac:dyDescent="0.3">
      <c r="A5" s="23" t="s">
        <v>1</v>
      </c>
      <c r="B5" s="23"/>
      <c r="C5" s="8">
        <v>0.12</v>
      </c>
      <c r="D5" s="2"/>
      <c r="E5" t="s">
        <v>11</v>
      </c>
      <c r="F5" s="4">
        <f>C3+F3</f>
        <v>-66185.464140100405</v>
      </c>
    </row>
    <row r="6" spans="1:7" ht="6" customHeight="1" x14ac:dyDescent="0.3">
      <c r="A6" s="6"/>
      <c r="B6" s="6"/>
      <c r="C6" s="7"/>
      <c r="D6" s="1"/>
    </row>
    <row r="7" spans="1:7" x14ac:dyDescent="0.3">
      <c r="A7" s="23" t="s">
        <v>2</v>
      </c>
      <c r="B7" s="23"/>
      <c r="C7" s="7">
        <v>12</v>
      </c>
      <c r="D7" s="1"/>
    </row>
    <row r="8" spans="1:7" ht="5.4" customHeight="1" x14ac:dyDescent="0.3">
      <c r="A8" s="6"/>
      <c r="B8" s="6"/>
      <c r="C8" s="7"/>
      <c r="D8" s="1"/>
    </row>
    <row r="9" spans="1:7" x14ac:dyDescent="0.3">
      <c r="A9" s="23" t="s">
        <v>3</v>
      </c>
      <c r="B9" s="23"/>
      <c r="C9" s="9">
        <f>PMT(C5/12, C7, C3)</f>
        <v>-88848.788678341691</v>
      </c>
      <c r="D9" s="1"/>
    </row>
    <row r="11" spans="1:7" x14ac:dyDescent="0.3">
      <c r="A11" s="20" t="s">
        <v>4</v>
      </c>
      <c r="B11" s="21" t="s">
        <v>5</v>
      </c>
      <c r="C11" s="21" t="s">
        <v>6</v>
      </c>
      <c r="D11" s="21" t="s">
        <v>7</v>
      </c>
      <c r="E11" s="21" t="s">
        <v>8</v>
      </c>
      <c r="F11" s="22" t="s">
        <v>9</v>
      </c>
      <c r="G11" s="3"/>
    </row>
    <row r="12" spans="1:7" x14ac:dyDescent="0.3">
      <c r="A12" s="13"/>
      <c r="B12" s="10">
        <v>1000000</v>
      </c>
      <c r="C12" s="10"/>
      <c r="D12" s="19"/>
      <c r="E12" s="10"/>
      <c r="F12" s="14">
        <v>1000000</v>
      </c>
      <c r="G12" s="3"/>
    </row>
    <row r="13" spans="1:7" x14ac:dyDescent="0.3">
      <c r="A13" s="15">
        <v>1</v>
      </c>
      <c r="B13" s="12">
        <f>$C$9</f>
        <v>-88848.788678341691</v>
      </c>
      <c r="C13" s="12">
        <f>-(PPMT($C$5/12,A13,$C$7,$C$3,0)-B13)</f>
        <v>-10000</v>
      </c>
      <c r="D13" s="19">
        <f>PPMT($C$5/12,A13,$C$7,$C$3,0)</f>
        <v>-78848.788678341691</v>
      </c>
      <c r="E13" s="11"/>
      <c r="F13" s="18">
        <f>$C$3+SUM(D13)</f>
        <v>921151.21132165834</v>
      </c>
    </row>
    <row r="14" spans="1:7" x14ac:dyDescent="0.3">
      <c r="A14" s="15">
        <v>2</v>
      </c>
      <c r="B14" s="12">
        <f>IF(F13=0,0,IF(F13&lt;-$C$9,-F13+C14,B13))</f>
        <v>-88848.788678341691</v>
      </c>
      <c r="C14" s="12">
        <f t="shared" ref="C14:C24" si="0">-(PPMT($C$5/12,A14,$C$7,$C$3,0)-B14)</f>
        <v>-9211.5121132165659</v>
      </c>
      <c r="D14" s="19">
        <f t="shared" ref="D14:D24" si="1">PPMT($C$5/12,A14,$C$7,$C$3,0)</f>
        <v>-79637.276565125125</v>
      </c>
      <c r="E14" s="11"/>
      <c r="F14" s="18">
        <f>F13+D14+E14</f>
        <v>841513.93475653324</v>
      </c>
    </row>
    <row r="15" spans="1:7" x14ac:dyDescent="0.3">
      <c r="A15" s="15">
        <v>3</v>
      </c>
      <c r="B15" s="12">
        <f t="shared" ref="B15:B24" si="2">IF(F14=0,0,IF(F14&lt;-$C$9,-F14+C15,B14))</f>
        <v>-88848.788678341691</v>
      </c>
      <c r="C15" s="12">
        <f t="shared" si="0"/>
        <v>-8415.1393475653313</v>
      </c>
      <c r="D15" s="19">
        <f t="shared" si="1"/>
        <v>-80433.649330776359</v>
      </c>
      <c r="E15" s="11"/>
      <c r="F15" s="18">
        <f t="shared" ref="F15:F24" si="3">F14+D15+E15</f>
        <v>761080.28542575683</v>
      </c>
    </row>
    <row r="16" spans="1:7" x14ac:dyDescent="0.3">
      <c r="A16" s="15">
        <v>4</v>
      </c>
      <c r="B16" s="12">
        <f t="shared" si="2"/>
        <v>-88848.788678341691</v>
      </c>
      <c r="C16" s="12">
        <f>-$C$5/12*F15</f>
        <v>-7610.8028542575685</v>
      </c>
      <c r="D16" s="19">
        <f>B16-C16</f>
        <v>-81237.985824084128</v>
      </c>
      <c r="E16" s="11">
        <v>-300000</v>
      </c>
      <c r="F16" s="18">
        <f t="shared" si="3"/>
        <v>379842.29960167268</v>
      </c>
    </row>
    <row r="17" spans="1:6" x14ac:dyDescent="0.3">
      <c r="A17" s="15">
        <v>5</v>
      </c>
      <c r="B17" s="12">
        <f t="shared" si="2"/>
        <v>-88848.788678341691</v>
      </c>
      <c r="C17" s="12">
        <f t="shared" si="0"/>
        <v>-6798.4229960167286</v>
      </c>
      <c r="D17" s="19">
        <f t="shared" si="1"/>
        <v>-82050.365682324962</v>
      </c>
      <c r="E17" s="11"/>
      <c r="F17" s="18">
        <f t="shared" si="3"/>
        <v>297791.93391934771</v>
      </c>
    </row>
    <row r="18" spans="1:6" x14ac:dyDescent="0.3">
      <c r="A18" s="15">
        <v>6</v>
      </c>
      <c r="B18" s="12">
        <f t="shared" si="2"/>
        <v>-88848.788678341691</v>
      </c>
      <c r="C18" s="12">
        <f t="shared" si="0"/>
        <v>-5977.9193391934677</v>
      </c>
      <c r="D18" s="19">
        <f t="shared" si="1"/>
        <v>-82870.869339148223</v>
      </c>
      <c r="E18" s="11"/>
      <c r="F18" s="18">
        <f t="shared" si="3"/>
        <v>214921.06458019948</v>
      </c>
    </row>
    <row r="19" spans="1:6" x14ac:dyDescent="0.3">
      <c r="A19" s="15">
        <v>7</v>
      </c>
      <c r="B19" s="12">
        <f t="shared" si="2"/>
        <v>-88848.788678341691</v>
      </c>
      <c r="C19" s="12">
        <f t="shared" si="0"/>
        <v>-5149.2106458019844</v>
      </c>
      <c r="D19" s="19">
        <f t="shared" si="1"/>
        <v>-83699.578032539706</v>
      </c>
      <c r="E19" s="11"/>
      <c r="F19" s="18">
        <f t="shared" si="3"/>
        <v>131221.48654765979</v>
      </c>
    </row>
    <row r="20" spans="1:6" x14ac:dyDescent="0.3">
      <c r="A20" s="15">
        <v>8</v>
      </c>
      <c r="B20" s="12">
        <f t="shared" si="2"/>
        <v>-88848.788678341691</v>
      </c>
      <c r="C20" s="12">
        <f t="shared" si="0"/>
        <v>-4312.2148654765915</v>
      </c>
      <c r="D20" s="19">
        <f t="shared" si="1"/>
        <v>-84536.573812865099</v>
      </c>
      <c r="E20" s="11"/>
      <c r="F20" s="18">
        <f t="shared" si="3"/>
        <v>46684.912734794692</v>
      </c>
    </row>
    <row r="21" spans="1:6" x14ac:dyDescent="0.3">
      <c r="A21" s="15">
        <v>9</v>
      </c>
      <c r="B21" s="12">
        <f t="shared" ca="1" si="2"/>
        <v>-88848.788678341691</v>
      </c>
      <c r="C21" s="12">
        <f t="shared" ca="1" si="0"/>
        <v>-3466.8491273479303</v>
      </c>
      <c r="D21" s="19">
        <f>PPMT($C$5/12,A21,$C$7,$C$3,0)</f>
        <v>-85381.93955099376</v>
      </c>
      <c r="E21" s="11"/>
      <c r="F21" s="18"/>
    </row>
    <row r="22" spans="1:6" x14ac:dyDescent="0.3">
      <c r="A22" s="15">
        <v>10</v>
      </c>
      <c r="B22" s="12">
        <f t="shared" si="2"/>
        <v>0</v>
      </c>
      <c r="C22" s="12">
        <f t="shared" si="0"/>
        <v>86235.758946503687</v>
      </c>
      <c r="D22" s="19">
        <f t="shared" si="1"/>
        <v>-86235.758946503687</v>
      </c>
      <c r="E22" s="11"/>
      <c r="F22" s="18">
        <f t="shared" si="3"/>
        <v>-86235.758946503687</v>
      </c>
    </row>
    <row r="23" spans="1:6" x14ac:dyDescent="0.3">
      <c r="A23" s="15">
        <v>11</v>
      </c>
      <c r="B23" s="12">
        <f t="shared" ca="1" si="2"/>
        <v>-88848.788678341691</v>
      </c>
      <c r="C23" s="12">
        <f t="shared" ca="1" si="0"/>
        <v>-1750.6721423729614</v>
      </c>
      <c r="D23" s="19">
        <f t="shared" si="1"/>
        <v>-87098.116535968729</v>
      </c>
      <c r="E23" s="11"/>
      <c r="F23" s="18">
        <f t="shared" si="3"/>
        <v>-173333.87548247242</v>
      </c>
    </row>
    <row r="24" spans="1:6" x14ac:dyDescent="0.3">
      <c r="A24" s="16">
        <v>12</v>
      </c>
      <c r="B24" s="12">
        <f t="shared" ca="1" si="2"/>
        <v>-88848.788678341691</v>
      </c>
      <c r="C24" s="12">
        <f t="shared" ca="1" si="0"/>
        <v>-879.69097701327701</v>
      </c>
      <c r="D24" s="19">
        <f t="shared" si="1"/>
        <v>-87969.097701328414</v>
      </c>
      <c r="E24" s="17"/>
      <c r="F24" s="18">
        <f t="shared" si="3"/>
        <v>-261302.97318380082</v>
      </c>
    </row>
  </sheetData>
  <mergeCells count="4">
    <mergeCell ref="A3:B3"/>
    <mergeCell ref="A5:B5"/>
    <mergeCell ref="A7:B7"/>
    <mergeCell ref="A9:B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medve</dc:creator>
  <cp:lastModifiedBy>medvedpro24@gmail.com</cp:lastModifiedBy>
  <dcterms:created xsi:type="dcterms:W3CDTF">2015-06-05T18:19:34Z</dcterms:created>
  <dcterms:modified xsi:type="dcterms:W3CDTF">2026-02-11T07:59:56Z</dcterms:modified>
</cp:coreProperties>
</file>