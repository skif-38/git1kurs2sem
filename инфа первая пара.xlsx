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dve\OneDrive\Рабочий стол\"/>
    </mc:Choice>
  </mc:AlternateContent>
  <xr:revisionPtr revIDLastSave="0" documentId="13_ncr:1_{8588681F-E690-4B97-BC54-686B6AFB54C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definedNames>
    <definedName name="solver_adj" localSheetId="3" hidden="1">Лист4!$A$2:$B$2</definedName>
    <definedName name="solver_adj" localSheetId="4" hidden="1">Лист5!$B$2:$B$4</definedName>
    <definedName name="solver_cvg" localSheetId="3" hidden="1">0.0001</definedName>
    <definedName name="solver_cvg" localSheetId="4" hidden="1">0.0001</definedName>
    <definedName name="solver_drv" localSheetId="3" hidden="1">1</definedName>
    <definedName name="solver_drv" localSheetId="4" hidden="1">1</definedName>
    <definedName name="solver_eng" localSheetId="3" hidden="1">1</definedName>
    <definedName name="solver_eng" localSheetId="4" hidden="1">1</definedName>
    <definedName name="solver_est" localSheetId="3" hidden="1">1</definedName>
    <definedName name="solver_est" localSheetId="4" hidden="1">1</definedName>
    <definedName name="solver_itr" localSheetId="3" hidden="1">2147483647</definedName>
    <definedName name="solver_itr" localSheetId="4" hidden="1">2147483647</definedName>
    <definedName name="solver_lhs1" localSheetId="3" hidden="1">Лист4!$A$2:$B$2</definedName>
    <definedName name="solver_lhs1" localSheetId="4" hidden="1">Лист5!$B$2</definedName>
    <definedName name="solver_lhs2" localSheetId="3" hidden="1">Лист4!$C$2</definedName>
    <definedName name="solver_lhs2" localSheetId="4" hidden="1">Лист5!$B$3</definedName>
    <definedName name="solver_lhs3" localSheetId="4" hidden="1">Лист5!$B$4</definedName>
    <definedName name="solver_lhs4" localSheetId="4" hidden="1">Лист5!$B$5</definedName>
    <definedName name="solver_lhs5" localSheetId="4" hidden="1">Лист5!$B$5</definedName>
    <definedName name="solver_mip" localSheetId="3" hidden="1">2147483647</definedName>
    <definedName name="solver_mip" localSheetId="4" hidden="1">2147483647</definedName>
    <definedName name="solver_mni" localSheetId="3" hidden="1">30</definedName>
    <definedName name="solver_mni" localSheetId="4" hidden="1">30</definedName>
    <definedName name="solver_mrt" localSheetId="3" hidden="1">0.075</definedName>
    <definedName name="solver_mrt" localSheetId="4" hidden="1">0.075</definedName>
    <definedName name="solver_msl" localSheetId="3" hidden="1">2</definedName>
    <definedName name="solver_msl" localSheetId="4" hidden="1">2</definedName>
    <definedName name="solver_neg" localSheetId="3" hidden="1">1</definedName>
    <definedName name="solver_neg" localSheetId="4" hidden="1">1</definedName>
    <definedName name="solver_nod" localSheetId="3" hidden="1">2147483647</definedName>
    <definedName name="solver_nod" localSheetId="4" hidden="1">2147483647</definedName>
    <definedName name="solver_num" localSheetId="3" hidden="1">1</definedName>
    <definedName name="solver_num" localSheetId="4" hidden="1">4</definedName>
    <definedName name="solver_nwt" localSheetId="3" hidden="1">1</definedName>
    <definedName name="solver_nwt" localSheetId="4" hidden="1">1</definedName>
    <definedName name="solver_opt" localSheetId="3" hidden="1">Лист4!$D$2</definedName>
    <definedName name="solver_opt" localSheetId="4" hidden="1">Лист5!$B$2</definedName>
    <definedName name="solver_pre" localSheetId="3" hidden="1">0.000001</definedName>
    <definedName name="solver_pre" localSheetId="4" hidden="1">0.000001</definedName>
    <definedName name="solver_rbv" localSheetId="3" hidden="1">1</definedName>
    <definedName name="solver_rbv" localSheetId="4" hidden="1">1</definedName>
    <definedName name="solver_rel1" localSheetId="3" hidden="1">1</definedName>
    <definedName name="solver_rel1" localSheetId="4" hidden="1">1</definedName>
    <definedName name="solver_rel2" localSheetId="3" hidden="1">1</definedName>
    <definedName name="solver_rel2" localSheetId="4" hidden="1">3</definedName>
    <definedName name="solver_rel3" localSheetId="4" hidden="1">1</definedName>
    <definedName name="solver_rel4" localSheetId="4" hidden="1">2</definedName>
    <definedName name="solver_rel5" localSheetId="4" hidden="1">2</definedName>
    <definedName name="solver_rhs1" localSheetId="3" hidden="1">Лист4!$F$1</definedName>
    <definedName name="solver_rhs1" localSheetId="4" hidden="1">50</definedName>
    <definedName name="solver_rhs2" localSheetId="3" hidden="1">Лист4!$F$1</definedName>
    <definedName name="solver_rhs2" localSheetId="4" hidden="1">40</definedName>
    <definedName name="solver_rhs3" localSheetId="4" hidden="1">40</definedName>
    <definedName name="solver_rhs4" localSheetId="4" hidden="1">300</definedName>
    <definedName name="solver_rhs5" localSheetId="4" hidden="1">3</definedName>
    <definedName name="solver_rlx" localSheetId="3" hidden="1">2</definedName>
    <definedName name="solver_rlx" localSheetId="4" hidden="1">2</definedName>
    <definedName name="solver_rsd" localSheetId="3" hidden="1">0</definedName>
    <definedName name="solver_rsd" localSheetId="4" hidden="1">0</definedName>
    <definedName name="solver_scl" localSheetId="3" hidden="1">1</definedName>
    <definedName name="solver_scl" localSheetId="4" hidden="1">1</definedName>
    <definedName name="solver_sho" localSheetId="3" hidden="1">2</definedName>
    <definedName name="solver_sho" localSheetId="4" hidden="1">2</definedName>
    <definedName name="solver_ssz" localSheetId="3" hidden="1">100</definedName>
    <definedName name="solver_ssz" localSheetId="4" hidden="1">100</definedName>
    <definedName name="solver_tim" localSheetId="3" hidden="1">2147483647</definedName>
    <definedName name="solver_tim" localSheetId="4" hidden="1">2147483647</definedName>
    <definedName name="solver_tol" localSheetId="3" hidden="1">0.01</definedName>
    <definedName name="solver_tol" localSheetId="4" hidden="1">0.01</definedName>
    <definedName name="solver_typ" localSheetId="3" hidden="1">1</definedName>
    <definedName name="solver_typ" localSheetId="4" hidden="1">1</definedName>
    <definedName name="solver_val" localSheetId="3" hidden="1">0</definedName>
    <definedName name="solver_val" localSheetId="4" hidden="1">0</definedName>
    <definedName name="solver_ver" localSheetId="3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5" l="1"/>
  <c r="D3" i="5"/>
  <c r="D4" i="5"/>
  <c r="D2" i="5"/>
  <c r="B5" i="5"/>
  <c r="D2" i="4"/>
  <c r="C2" i="4"/>
  <c r="B4" i="3"/>
  <c r="B5" i="3" s="1"/>
  <c r="C3" i="2"/>
  <c r="C4" i="2"/>
  <c r="C2" i="2"/>
  <c r="B2" i="1"/>
  <c r="D5" i="5" l="1"/>
  <c r="C8" i="2"/>
</calcChain>
</file>

<file path=xl/sharedStrings.xml><?xml version="1.0" encoding="utf-8"?>
<sst xmlns="http://schemas.openxmlformats.org/spreadsheetml/2006/main" count="25" uniqueCount="23">
  <si>
    <t>x</t>
  </si>
  <si>
    <t>y</t>
  </si>
  <si>
    <t>фио</t>
  </si>
  <si>
    <t xml:space="preserve">иванов </t>
  </si>
  <si>
    <t xml:space="preserve">петров </t>
  </si>
  <si>
    <t>сидоров</t>
  </si>
  <si>
    <t>оклад</t>
  </si>
  <si>
    <t>премия</t>
  </si>
  <si>
    <t>коэф</t>
  </si>
  <si>
    <t>СУММА ссуды</t>
  </si>
  <si>
    <t>период</t>
  </si>
  <si>
    <t>годовая ствка</t>
  </si>
  <si>
    <t>выплата</t>
  </si>
  <si>
    <t>переплата</t>
  </si>
  <si>
    <t>p</t>
  </si>
  <si>
    <t>s</t>
  </si>
  <si>
    <t>колво</t>
  </si>
  <si>
    <t>доход</t>
  </si>
  <si>
    <t>а</t>
  </si>
  <si>
    <t>б</t>
  </si>
  <si>
    <t>с</t>
  </si>
  <si>
    <t>всего</t>
  </si>
  <si>
    <t>прибыль за 1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</si>
</sst>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0" fontId="0" fillId="0" borderId="2" xfId="0" applyBorder="1"/>
    <xf numFmtId="9" fontId="0" fillId="0" borderId="2" xfId="1" applyFont="1" applyBorder="1"/>
    <xf numFmtId="8" fontId="0" fillId="0" borderId="2" xfId="0" applyNumberFormat="1" applyBorder="1"/>
    <xf numFmtId="0" fontId="0" fillId="0" borderId="3" xfId="0" applyFill="1" applyBorder="1"/>
    <xf numFmtId="8" fontId="0" fillId="0" borderId="0" xfId="0" applyNumberFormat="1"/>
    <xf numFmtId="3" fontId="0" fillId="0" borderId="2" xfId="0" applyNumberFormat="1" applyBorder="1"/>
    <xf numFmtId="0" fontId="0" fillId="3" borderId="0" xfId="0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58" workbookViewId="0">
      <selection activeCell="G5" sqref="G5"/>
    </sheetView>
  </sheetViews>
  <sheetFormatPr defaultRowHeight="14.4" x14ac:dyDescent="0.3"/>
  <cols>
    <col min="1" max="1" width="30.6640625" customWidth="1"/>
    <col min="2" max="2" width="11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-3.6055604482866337</v>
      </c>
      <c r="B2" s="1">
        <f>A2*A2</f>
        <v>13.00006614624891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76B1-9AFB-487F-97C2-0A0630FA84CB}">
  <dimension ref="A1:H8"/>
  <sheetViews>
    <sheetView zoomScale="140" zoomScaleNormal="140" workbookViewId="0">
      <selection activeCell="C8" sqref="C8"/>
    </sheetView>
  </sheetViews>
  <sheetFormatPr defaultRowHeight="14.4" x14ac:dyDescent="0.3"/>
  <sheetData>
    <row r="1" spans="1:8" x14ac:dyDescent="0.3">
      <c r="A1" t="s">
        <v>2</v>
      </c>
      <c r="B1" t="s">
        <v>6</v>
      </c>
      <c r="C1" t="s">
        <v>7</v>
      </c>
      <c r="G1" s="3" t="s">
        <v>8</v>
      </c>
      <c r="H1" s="4">
        <v>0.51724137931034486</v>
      </c>
    </row>
    <row r="2" spans="1:8" x14ac:dyDescent="0.3">
      <c r="A2" t="s">
        <v>3</v>
      </c>
      <c r="B2">
        <v>200000</v>
      </c>
      <c r="C2">
        <f>B2*$H$1</f>
        <v>103448.27586206897</v>
      </c>
      <c r="H2" s="2"/>
    </row>
    <row r="3" spans="1:8" x14ac:dyDescent="0.3">
      <c r="A3" t="s">
        <v>4</v>
      </c>
      <c r="B3">
        <v>70000</v>
      </c>
      <c r="C3">
        <f t="shared" ref="C3:C4" si="0">B3*$H$1</f>
        <v>36206.896551724138</v>
      </c>
    </row>
    <row r="4" spans="1:8" x14ac:dyDescent="0.3">
      <c r="A4" t="s">
        <v>5</v>
      </c>
      <c r="B4">
        <v>20000</v>
      </c>
      <c r="C4">
        <f t="shared" si="0"/>
        <v>10344.827586206897</v>
      </c>
    </row>
    <row r="8" spans="1:8" x14ac:dyDescent="0.3">
      <c r="C8">
        <f>SUM(C2:C4)</f>
        <v>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6C5E-F459-43F9-89C8-2C14B8F2F385}">
  <dimension ref="A1:B5"/>
  <sheetViews>
    <sheetView zoomScale="130" zoomScaleNormal="130" workbookViewId="0">
      <selection activeCell="B2" sqref="B2"/>
    </sheetView>
  </sheetViews>
  <sheetFormatPr defaultRowHeight="14.4" x14ac:dyDescent="0.3"/>
  <cols>
    <col min="1" max="1" width="18.6640625" customWidth="1"/>
    <col min="2" max="2" width="17.33203125" customWidth="1"/>
  </cols>
  <sheetData>
    <row r="1" spans="1:2" x14ac:dyDescent="0.3">
      <c r="A1" s="5" t="s">
        <v>9</v>
      </c>
      <c r="B1" s="10">
        <v>12000000</v>
      </c>
    </row>
    <row r="2" spans="1:2" x14ac:dyDescent="0.3">
      <c r="A2" s="5" t="s">
        <v>10</v>
      </c>
      <c r="B2" s="5">
        <v>9.1258590300373363</v>
      </c>
    </row>
    <row r="3" spans="1:2" x14ac:dyDescent="0.3">
      <c r="A3" s="5" t="s">
        <v>11</v>
      </c>
      <c r="B3" s="6">
        <v>0.22</v>
      </c>
    </row>
    <row r="4" spans="1:2" x14ac:dyDescent="0.3">
      <c r="A4" s="5" t="s">
        <v>12</v>
      </c>
      <c r="B4" s="7">
        <f>PMT(B3/12,B2,-B1)</f>
        <v>1439999.999915971</v>
      </c>
    </row>
    <row r="5" spans="1:2" x14ac:dyDescent="0.3">
      <c r="A5" s="8" t="s">
        <v>13</v>
      </c>
      <c r="B5" s="9">
        <f>B4*B2-B1</f>
        <v>1141237.0024869274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726C-8332-45EB-B6B2-554B1D75D1ED}">
  <dimension ref="A1:F2"/>
  <sheetViews>
    <sheetView zoomScale="155" workbookViewId="0">
      <selection activeCell="D2" sqref="D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14</v>
      </c>
      <c r="D1" t="s">
        <v>15</v>
      </c>
      <c r="F1">
        <v>1000</v>
      </c>
    </row>
    <row r="2" spans="1:6" x14ac:dyDescent="0.3">
      <c r="A2">
        <v>250</v>
      </c>
      <c r="B2">
        <v>250</v>
      </c>
      <c r="C2">
        <f>(A2+B2)*2</f>
        <v>1000</v>
      </c>
      <c r="D2">
        <f>A2*B2</f>
        <v>62500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B738-D98E-4592-8FE4-85E73B3B6BBE}">
  <dimension ref="A1:D5"/>
  <sheetViews>
    <sheetView tabSelected="1" zoomScale="207" workbookViewId="0">
      <selection activeCell="D5" sqref="D5"/>
    </sheetView>
  </sheetViews>
  <sheetFormatPr defaultRowHeight="14.4" x14ac:dyDescent="0.3"/>
  <cols>
    <col min="3" max="3" width="18.44140625" customWidth="1"/>
  </cols>
  <sheetData>
    <row r="1" spans="1:4" x14ac:dyDescent="0.3">
      <c r="A1" s="1"/>
      <c r="B1" t="s">
        <v>16</v>
      </c>
      <c r="C1" t="s">
        <v>22</v>
      </c>
      <c r="D1" t="s">
        <v>17</v>
      </c>
    </row>
    <row r="2" spans="1:4" x14ac:dyDescent="0.3">
      <c r="A2" s="1" t="s">
        <v>18</v>
      </c>
      <c r="B2">
        <v>50</v>
      </c>
      <c r="C2" s="11">
        <v>13</v>
      </c>
      <c r="D2">
        <f>B2*C2</f>
        <v>650</v>
      </c>
    </row>
    <row r="3" spans="1:4" x14ac:dyDescent="0.3">
      <c r="A3" s="1" t="s">
        <v>19</v>
      </c>
      <c r="B3">
        <v>210.0000000000139</v>
      </c>
      <c r="C3" s="11">
        <v>18</v>
      </c>
      <c r="D3">
        <f t="shared" ref="D3:D4" si="0">B3*C3</f>
        <v>3780.0000000002501</v>
      </c>
    </row>
    <row r="4" spans="1:4" x14ac:dyDescent="0.3">
      <c r="A4" s="1" t="s">
        <v>20</v>
      </c>
      <c r="B4">
        <v>40</v>
      </c>
      <c r="C4" s="11">
        <v>22</v>
      </c>
      <c r="D4">
        <f t="shared" si="0"/>
        <v>880</v>
      </c>
    </row>
    <row r="5" spans="1:4" x14ac:dyDescent="0.3">
      <c r="A5" s="1" t="s">
        <v>21</v>
      </c>
      <c r="B5" s="1">
        <f>SUM(B2:B4)</f>
        <v>300.00000000001387</v>
      </c>
      <c r="C5" s="1">
        <f t="shared" ref="C5:D5" si="1">SUM(C2:C4)</f>
        <v>53</v>
      </c>
      <c r="D5" s="1">
        <f t="shared" si="1"/>
        <v>5310.0000000002501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medve</dc:creator>
  <cp:lastModifiedBy>medvedpro24@gmail.com</cp:lastModifiedBy>
  <dcterms:created xsi:type="dcterms:W3CDTF">2015-06-05T18:19:34Z</dcterms:created>
  <dcterms:modified xsi:type="dcterms:W3CDTF">2026-02-04T07:31:02Z</dcterms:modified>
</cp:coreProperties>
</file>