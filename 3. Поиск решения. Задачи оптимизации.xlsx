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32e2a2ea1aebb96/Рабочий стол/"/>
    </mc:Choice>
  </mc:AlternateContent>
  <xr:revisionPtr revIDLastSave="2" documentId="11_AD4DF75460589B3ACB728477C7DC47385ADEDD8F" xr6:coauthVersionLast="47" xr6:coauthVersionMax="47" xr10:uidLastSave="{CDE474F3-0D1B-403F-965C-3CB31C16A485}"/>
  <bookViews>
    <workbookView xWindow="-108" yWindow="-108" windowWidth="23256" windowHeight="12456" activeTab="5" xr2:uid="{00000000-000D-0000-FFFF-FFFF00000000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7" r:id="rId6"/>
  </sheets>
  <definedNames>
    <definedName name="solver_adj" localSheetId="0" hidden="1">'задача 1'!$B$5:$B$7</definedName>
    <definedName name="solver_adj" localSheetId="1" hidden="1">'задача 2'!$B$2:$B$4</definedName>
    <definedName name="solver_adj" localSheetId="2" hidden="1">'задача 3'!$E$5,'задача 3'!$E$4,'задача 3'!$E$9,'задача 3'!$B$13</definedName>
    <definedName name="solver_adj" localSheetId="3" hidden="1">'задача 4'!$G$2:$G$3</definedName>
    <definedName name="solver_adj" localSheetId="4" hidden="1">'задача 5'!$G$4:$G$6</definedName>
    <definedName name="solver_adj" localSheetId="5" hidden="1">'задача 6'!$B$2:$B$7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2</definedName>
    <definedName name="solver_drv" localSheetId="5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'задача 1'!$B$5</definedName>
    <definedName name="solver_lhs1" localSheetId="1" hidden="1">'задача 2'!$B$2</definedName>
    <definedName name="solver_lhs1" localSheetId="2" hidden="1">'задача 3'!$B$13</definedName>
    <definedName name="solver_lhs1" localSheetId="3" hidden="1">'задача 4'!$B$5:$E$5</definedName>
    <definedName name="solver_lhs1" localSheetId="4" hidden="1">'задача 5'!$B$7:$E$7</definedName>
    <definedName name="solver_lhs1" localSheetId="5" hidden="1">'задача 6'!$B$10</definedName>
    <definedName name="solver_lhs2" localSheetId="0" hidden="1">'задача 1'!$B$6</definedName>
    <definedName name="solver_lhs2" localSheetId="1" hidden="1">'задача 2'!$B$2:$B$4</definedName>
    <definedName name="solver_lhs2" localSheetId="2" hidden="1">'задача 3'!$E$4</definedName>
    <definedName name="solver_lhs2" localSheetId="3" hidden="1">'задача 4'!$G$2:$G$3</definedName>
    <definedName name="solver_lhs2" localSheetId="4" hidden="1">'задача 5'!$G$4:$G$6</definedName>
    <definedName name="solver_lhs2" localSheetId="5" hidden="1">'задача 6'!$B$11</definedName>
    <definedName name="solver_lhs3" localSheetId="0" hidden="1">'задача 1'!$B$7</definedName>
    <definedName name="solver_lhs3" localSheetId="1" hidden="1">'задача 2'!$B$3</definedName>
    <definedName name="solver_lhs3" localSheetId="2" hidden="1">'задача 3'!$E$4</definedName>
    <definedName name="solver_lhs3" localSheetId="5" hidden="1">'задача 6'!$B$12</definedName>
    <definedName name="solver_lhs4" localSheetId="0" hidden="1">'задача 1'!$B$8</definedName>
    <definedName name="solver_lhs4" localSheetId="1" hidden="1">'задача 2'!$B$4</definedName>
    <definedName name="solver_lhs4" localSheetId="2" hidden="1">'задача 3'!$E$5</definedName>
    <definedName name="solver_lhs4" localSheetId="5" hidden="1">'задача 6'!$B$2:$B$7</definedName>
    <definedName name="solver_lhs5" localSheetId="1" hidden="1">'задача 2'!$C$5</definedName>
    <definedName name="solver_lhs5" localSheetId="2" hidden="1">'задача 3'!$E$5</definedName>
    <definedName name="solver_lhs6" localSheetId="1" hidden="1">'задача 2'!$D$5</definedName>
    <definedName name="solver_lhs6" localSheetId="2" hidden="1">'задача 3'!$E$9</definedName>
    <definedName name="solver_lhs7" localSheetId="2" hidden="1">'задача 3'!$E$9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4</definedName>
    <definedName name="solver_num" localSheetId="1" hidden="1">6</definedName>
    <definedName name="solver_num" localSheetId="2" hidden="1">7</definedName>
    <definedName name="solver_num" localSheetId="3" hidden="1">2</definedName>
    <definedName name="solver_num" localSheetId="4" hidden="1">2</definedName>
    <definedName name="solver_num" localSheetId="5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'задача 1'!$D$8</definedName>
    <definedName name="solver_opt" localSheetId="1" hidden="1">'задача 2'!$E$5</definedName>
    <definedName name="solver_opt" localSheetId="2" hidden="1">'задача 3'!$F$12</definedName>
    <definedName name="solver_opt" localSheetId="3" hidden="1">'задача 4'!$H$6</definedName>
    <definedName name="solver_opt" localSheetId="4" hidden="1">'задача 5'!$H$9</definedName>
    <definedName name="solver_opt" localSheetId="5" hidden="1">'задача 6'!$B$13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2</definedName>
    <definedName name="solver_rbv" localSheetId="5" hidden="1">1</definedName>
    <definedName name="solver_rel1" localSheetId="0" hidden="1">3</definedName>
    <definedName name="solver_rel1" localSheetId="1" hidden="1">1</definedName>
    <definedName name="solver_rel1" localSheetId="2" hidden="1">3</definedName>
    <definedName name="solver_rel1" localSheetId="3" hidden="1">1</definedName>
    <definedName name="solver_rel1" localSheetId="4" hidden="1">1</definedName>
    <definedName name="solver_rel1" localSheetId="5" hidden="1">3</definedName>
    <definedName name="solver_rel2" localSheetId="0" hidden="1">3</definedName>
    <definedName name="solver_rel2" localSheetId="1" hidden="1">4</definedName>
    <definedName name="solver_rel2" localSheetId="2" hidden="1">1</definedName>
    <definedName name="solver_rel2" localSheetId="3" hidden="1">4</definedName>
    <definedName name="solver_rel2" localSheetId="4" hidden="1">4</definedName>
    <definedName name="solver_rel2" localSheetId="5" hidden="1">3</definedName>
    <definedName name="solver_rel3" localSheetId="0" hidden="1">1</definedName>
    <definedName name="solver_rel3" localSheetId="1" hidden="1">1</definedName>
    <definedName name="solver_rel3" localSheetId="2" hidden="1">3</definedName>
    <definedName name="solver_rel3" localSheetId="5" hidden="1">3</definedName>
    <definedName name="solver_rel4" localSheetId="0" hidden="1">1</definedName>
    <definedName name="solver_rel4" localSheetId="1" hidden="1">1</definedName>
    <definedName name="solver_rel4" localSheetId="2" hidden="1">1</definedName>
    <definedName name="solver_rel4" localSheetId="5" hidden="1">4</definedName>
    <definedName name="solver_rel5" localSheetId="1" hidden="1">1</definedName>
    <definedName name="solver_rel5" localSheetId="2" hidden="1">3</definedName>
    <definedName name="solver_rel6" localSheetId="1" hidden="1">1</definedName>
    <definedName name="solver_rel6" localSheetId="2" hidden="1">1</definedName>
    <definedName name="solver_rel7" localSheetId="2" hidden="1">3</definedName>
    <definedName name="solver_rhs1" localSheetId="0" hidden="1">50</definedName>
    <definedName name="solver_rhs1" localSheetId="1" hidden="1">20</definedName>
    <definedName name="solver_rhs1" localSheetId="2" hidden="1">3000</definedName>
    <definedName name="solver_rhs1" localSheetId="3" hidden="1">'задача 4'!$B$4:$E$4</definedName>
    <definedName name="solver_rhs1" localSheetId="4" hidden="1">'задача 5'!$B$8:$E$8</definedName>
    <definedName name="solver_rhs1" localSheetId="5" hidden="1">'задача 6'!$C$10</definedName>
    <definedName name="solver_rhs2" localSheetId="0" hidden="1">40</definedName>
    <definedName name="solver_rhs2" localSheetId="1" hidden="1">"целое"</definedName>
    <definedName name="solver_rhs2" localSheetId="2" hidden="1">5</definedName>
    <definedName name="solver_rhs2" localSheetId="3" hidden="1">"целое"</definedName>
    <definedName name="solver_rhs2" localSheetId="4" hidden="1">"целое"</definedName>
    <definedName name="solver_rhs2" localSheetId="5" hidden="1">'задача 6'!$C$11</definedName>
    <definedName name="solver_rhs3" localSheetId="0" hidden="1">40</definedName>
    <definedName name="solver_rhs3" localSheetId="1" hidden="1">30</definedName>
    <definedName name="solver_rhs3" localSheetId="2" hidden="1">3</definedName>
    <definedName name="solver_rhs3" localSheetId="5" hidden="1">'задача 6'!$C$12</definedName>
    <definedName name="solver_rhs4" localSheetId="0" hidden="1">300</definedName>
    <definedName name="solver_rhs4" localSheetId="1" hidden="1">25</definedName>
    <definedName name="solver_rhs4" localSheetId="2" hidden="1">6</definedName>
    <definedName name="solver_rhs4" localSheetId="5" hidden="1">"целое"</definedName>
    <definedName name="solver_rhs5" localSheetId="1" hidden="1">98</definedName>
    <definedName name="solver_rhs5" localSheetId="2" hidden="1">5</definedName>
    <definedName name="solver_rhs6" localSheetId="1" hidden="1">40</definedName>
    <definedName name="solver_rhs6" localSheetId="2" hidden="1">5</definedName>
    <definedName name="solver_rhs7" localSheetId="2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2</definedName>
    <definedName name="solver_scl" localSheetId="5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typ" localSheetId="3" hidden="1">1</definedName>
    <definedName name="solver_typ" localSheetId="4" hidden="1">1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7" l="1"/>
  <c r="B11" i="7"/>
  <c r="B10" i="7"/>
  <c r="B13" i="7"/>
  <c r="C5" i="3"/>
  <c r="D5" i="3" s="1"/>
  <c r="F5" i="3" s="1"/>
  <c r="E5" i="4"/>
  <c r="D5" i="4"/>
  <c r="C5" i="4"/>
  <c r="B5" i="4"/>
  <c r="H3" i="4"/>
  <c r="H2" i="4"/>
  <c r="G9" i="5"/>
  <c r="E7" i="5"/>
  <c r="D7" i="5"/>
  <c r="C7" i="5"/>
  <c r="B7" i="5"/>
  <c r="H6" i="5"/>
  <c r="H5" i="5"/>
  <c r="H4" i="5"/>
  <c r="E4" i="2"/>
  <c r="E3" i="2"/>
  <c r="E2" i="2"/>
  <c r="D4" i="2"/>
  <c r="D3" i="2"/>
  <c r="D2" i="2"/>
  <c r="C4" i="2"/>
  <c r="C3" i="2"/>
  <c r="C2" i="2"/>
  <c r="B5" i="2"/>
  <c r="C8" i="1"/>
  <c r="D6" i="1"/>
  <c r="D7" i="1"/>
  <c r="D5" i="1"/>
  <c r="B8" i="1"/>
  <c r="H6" i="4" l="1"/>
  <c r="H9" i="5"/>
  <c r="C5" i="2"/>
  <c r="D5" i="2"/>
  <c r="E5" i="2"/>
  <c r="D8" i="1"/>
  <c r="D4" i="3"/>
  <c r="F4" i="3" s="1"/>
  <c r="D11" i="3" l="1"/>
  <c r="F11" i="3" s="1"/>
  <c r="D10" i="3"/>
  <c r="F10" i="3" s="1"/>
  <c r="D7" i="3"/>
  <c r="F7" i="3" s="1"/>
  <c r="D3" i="3"/>
  <c r="F3" i="3" s="1"/>
  <c r="D2" i="3"/>
  <c r="F2" i="3" s="1"/>
  <c r="D8" i="3"/>
  <c r="F8" i="3" s="1"/>
  <c r="D9" i="3"/>
  <c r="F9" i="3" s="1"/>
  <c r="D6" i="3"/>
  <c r="F6" i="3" s="1"/>
  <c r="F12" i="3" l="1"/>
</calcChain>
</file>

<file path=xl/sharedStrings.xml><?xml version="1.0" encoding="utf-8"?>
<sst xmlns="http://schemas.openxmlformats.org/spreadsheetml/2006/main" count="78" uniqueCount="66">
  <si>
    <t>a</t>
  </si>
  <si>
    <t>b</t>
  </si>
  <si>
    <t>c</t>
  </si>
  <si>
    <t>всего</t>
  </si>
  <si>
    <t>колво</t>
  </si>
  <si>
    <t>доход</t>
  </si>
  <si>
    <t>цена шт</t>
  </si>
  <si>
    <t>время</t>
  </si>
  <si>
    <t>сырьё</t>
  </si>
  <si>
    <t>а</t>
  </si>
  <si>
    <t xml:space="preserve"> б</t>
  </si>
  <si>
    <t>зп</t>
  </si>
  <si>
    <t>кол-во</t>
  </si>
  <si>
    <t>зп всего</t>
  </si>
  <si>
    <t>ан</t>
  </si>
  <si>
    <t>функт</t>
  </si>
  <si>
    <t>мен</t>
  </si>
  <si>
    <t>инжен</t>
  </si>
  <si>
    <t>юр</t>
  </si>
  <si>
    <t>бух</t>
  </si>
  <si>
    <t>нач отдел</t>
  </si>
  <si>
    <t>тех дер</t>
  </si>
  <si>
    <t>ген дер</t>
  </si>
  <si>
    <t>зп прог=</t>
  </si>
  <si>
    <t>б</t>
  </si>
  <si>
    <t>р1</t>
  </si>
  <si>
    <t>р2</t>
  </si>
  <si>
    <t>р3</t>
  </si>
  <si>
    <t>р4</t>
  </si>
  <si>
    <t>цена</t>
  </si>
  <si>
    <t>запас</t>
  </si>
  <si>
    <t>исп</t>
  </si>
  <si>
    <t>телевизор</t>
  </si>
  <si>
    <t>стереосимтема</t>
  </si>
  <si>
    <t>акустическая система</t>
  </si>
  <si>
    <t>кинескоп</t>
  </si>
  <si>
    <t>динамик</t>
  </si>
  <si>
    <t>блок питания</t>
  </si>
  <si>
    <t>плата</t>
  </si>
  <si>
    <t>цена\шт</t>
  </si>
  <si>
    <t>расход на 1ед</t>
  </si>
  <si>
    <t>Наименование</t>
  </si>
  <si>
    <t>итого</t>
  </si>
  <si>
    <t>использовано</t>
  </si>
  <si>
    <t>Запасы</t>
  </si>
  <si>
    <t>кол-во шт</t>
  </si>
  <si>
    <t>длоход</t>
  </si>
  <si>
    <t>программ</t>
  </si>
  <si>
    <t xml:space="preserve">фонд зп </t>
  </si>
  <si>
    <t>варианты</t>
  </si>
  <si>
    <t xml:space="preserve"> 5 м</t>
  </si>
  <si>
    <t>4 м</t>
  </si>
  <si>
    <t>3 м</t>
  </si>
  <si>
    <t>обрезки</t>
  </si>
  <si>
    <t>кол-во 10м</t>
  </si>
  <si>
    <t>кол во</t>
  </si>
  <si>
    <t>5м</t>
  </si>
  <si>
    <t>4м</t>
  </si>
  <si>
    <t>3м</t>
  </si>
  <si>
    <t>размер</t>
  </si>
  <si>
    <t>количество</t>
  </si>
  <si>
    <t>нужно</t>
  </si>
  <si>
    <t>в</t>
  </si>
  <si>
    <t>г</t>
  </si>
  <si>
    <t>д</t>
  </si>
  <si>
    <t>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</si>
</sst>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1" xfId="0" applyFill="1" applyBorder="1"/>
    <xf numFmtId="4" fontId="0" fillId="5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8"/>
  <sheetViews>
    <sheetView topLeftCell="A4" zoomScale="178" workbookViewId="0">
      <selection activeCell="A4" sqref="A4:D8"/>
    </sheetView>
  </sheetViews>
  <sheetFormatPr defaultRowHeight="14.4" x14ac:dyDescent="0.3"/>
  <sheetData>
    <row r="4" spans="1:4" x14ac:dyDescent="0.3">
      <c r="A4" s="1"/>
      <c r="B4" s="2" t="s">
        <v>4</v>
      </c>
      <c r="C4" s="2" t="s">
        <v>6</v>
      </c>
      <c r="D4" s="2" t="s">
        <v>5</v>
      </c>
    </row>
    <row r="5" spans="1:4" x14ac:dyDescent="0.3">
      <c r="A5" s="1" t="s">
        <v>0</v>
      </c>
      <c r="B5" s="2">
        <v>50</v>
      </c>
      <c r="C5" s="2">
        <v>13</v>
      </c>
      <c r="D5" s="2">
        <f>B5*C5</f>
        <v>650</v>
      </c>
    </row>
    <row r="6" spans="1:4" x14ac:dyDescent="0.3">
      <c r="A6" s="1" t="s">
        <v>1</v>
      </c>
      <c r="B6" s="2">
        <v>210</v>
      </c>
      <c r="C6" s="2">
        <v>18</v>
      </c>
      <c r="D6" s="2">
        <f t="shared" ref="D6:D7" si="0">B6*C6</f>
        <v>3780</v>
      </c>
    </row>
    <row r="7" spans="1:4" x14ac:dyDescent="0.3">
      <c r="A7" s="1" t="s">
        <v>2</v>
      </c>
      <c r="B7" s="2">
        <v>40</v>
      </c>
      <c r="C7" s="2">
        <v>22</v>
      </c>
      <c r="D7" s="2">
        <f t="shared" si="0"/>
        <v>880</v>
      </c>
    </row>
    <row r="8" spans="1:4" x14ac:dyDescent="0.3">
      <c r="A8" s="1" t="s">
        <v>3</v>
      </c>
      <c r="B8" s="1">
        <f>SUM(B5:B7)</f>
        <v>300</v>
      </c>
      <c r="C8" s="1">
        <f t="shared" ref="C8:D8" si="1">SUM(C5:C7)</f>
        <v>53</v>
      </c>
      <c r="D8" s="1">
        <f t="shared" si="1"/>
        <v>5310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B4A2-C517-4490-9977-05861190D5DF}">
  <dimension ref="A1:E5"/>
  <sheetViews>
    <sheetView zoomScale="205" workbookViewId="0">
      <selection activeCell="E5" sqref="E5"/>
    </sheetView>
  </sheetViews>
  <sheetFormatPr defaultRowHeight="14.4" x14ac:dyDescent="0.3"/>
  <sheetData>
    <row r="1" spans="1:5" x14ac:dyDescent="0.3">
      <c r="A1" s="1"/>
      <c r="B1" s="2" t="s">
        <v>4</v>
      </c>
      <c r="C1" s="2" t="s">
        <v>8</v>
      </c>
      <c r="D1" s="2" t="s">
        <v>7</v>
      </c>
      <c r="E1" s="2" t="s">
        <v>5</v>
      </c>
    </row>
    <row r="2" spans="1:5" x14ac:dyDescent="0.3">
      <c r="A2" s="1" t="s">
        <v>0</v>
      </c>
      <c r="B2" s="2">
        <v>3</v>
      </c>
      <c r="C2" s="2">
        <f>B2*3</f>
        <v>9</v>
      </c>
      <c r="D2" s="2">
        <f>B2*1.2</f>
        <v>3.5999999999999996</v>
      </c>
      <c r="E2" s="2">
        <f>B2*15</f>
        <v>45</v>
      </c>
    </row>
    <row r="3" spans="1:5" x14ac:dyDescent="0.3">
      <c r="A3" s="1" t="s">
        <v>1</v>
      </c>
      <c r="B3" s="2">
        <v>30</v>
      </c>
      <c r="C3" s="2">
        <f>B3*2</f>
        <v>60</v>
      </c>
      <c r="D3" s="2">
        <f>B3*0.6</f>
        <v>18</v>
      </c>
      <c r="E3" s="2">
        <f>B3*10</f>
        <v>300</v>
      </c>
    </row>
    <row r="4" spans="1:5" x14ac:dyDescent="0.3">
      <c r="A4" s="1" t="s">
        <v>2</v>
      </c>
      <c r="B4" s="2">
        <v>23</v>
      </c>
      <c r="C4" s="2">
        <f>B4</f>
        <v>23</v>
      </c>
      <c r="D4" s="2">
        <f>B4*0.8</f>
        <v>18.400000000000002</v>
      </c>
      <c r="E4" s="2">
        <f>B4*12</f>
        <v>276</v>
      </c>
    </row>
    <row r="5" spans="1:5" x14ac:dyDescent="0.3">
      <c r="A5" s="1" t="s">
        <v>3</v>
      </c>
      <c r="B5" s="1">
        <f>SUM(B2:B4)</f>
        <v>56</v>
      </c>
      <c r="C5" s="1">
        <f>SUM(C2:C4)</f>
        <v>92</v>
      </c>
      <c r="D5" s="1">
        <f t="shared" ref="D5:E5" si="0">SUM(D2:D4)</f>
        <v>40</v>
      </c>
      <c r="E5" s="1">
        <f t="shared" si="0"/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7759-A292-4FFE-8D16-BE7CBA894D15}">
  <dimension ref="A1:F13"/>
  <sheetViews>
    <sheetView zoomScale="152" workbookViewId="0">
      <selection activeCell="C6" sqref="C6"/>
    </sheetView>
  </sheetViews>
  <sheetFormatPr defaultRowHeight="14.4" x14ac:dyDescent="0.3"/>
  <cols>
    <col min="1" max="1" width="10" customWidth="1"/>
    <col min="6" max="6" width="10.21875" bestFit="1" customWidth="1"/>
  </cols>
  <sheetData>
    <row r="1" spans="1:6" x14ac:dyDescent="0.3">
      <c r="A1" s="20"/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</row>
    <row r="2" spans="1:6" x14ac:dyDescent="0.3">
      <c r="A2" s="20" t="s">
        <v>14</v>
      </c>
      <c r="B2" s="2">
        <v>2</v>
      </c>
      <c r="C2" s="2">
        <v>0</v>
      </c>
      <c r="D2" s="2">
        <f>$B$13*B2+C2</f>
        <v>6000</v>
      </c>
      <c r="E2" s="2">
        <v>1</v>
      </c>
      <c r="F2" s="2">
        <f>D2*E2</f>
        <v>6000</v>
      </c>
    </row>
    <row r="3" spans="1:6" x14ac:dyDescent="0.3">
      <c r="A3" s="20" t="s">
        <v>15</v>
      </c>
      <c r="B3" s="2">
        <v>1.5</v>
      </c>
      <c r="C3" s="2">
        <v>0</v>
      </c>
      <c r="D3" s="2">
        <f t="shared" ref="D3:D11" si="0">$B$13*B3+C3</f>
        <v>4500</v>
      </c>
      <c r="E3" s="2">
        <v>2</v>
      </c>
      <c r="F3" s="2">
        <f t="shared" ref="F3:F11" si="1">D3*E3</f>
        <v>9000</v>
      </c>
    </row>
    <row r="4" spans="1:6" x14ac:dyDescent="0.3">
      <c r="A4" s="20" t="s">
        <v>16</v>
      </c>
      <c r="B4" s="2">
        <v>1.5</v>
      </c>
      <c r="C4" s="2">
        <v>0</v>
      </c>
      <c r="D4" s="2">
        <f t="shared" si="0"/>
        <v>4500</v>
      </c>
      <c r="E4" s="2">
        <v>3</v>
      </c>
      <c r="F4" s="2">
        <f t="shared" si="1"/>
        <v>13500</v>
      </c>
    </row>
    <row r="5" spans="1:6" x14ac:dyDescent="0.3">
      <c r="A5" s="20" t="s">
        <v>47</v>
      </c>
      <c r="B5" s="2">
        <v>1</v>
      </c>
      <c r="C5" s="2">
        <f>2000</f>
        <v>2000</v>
      </c>
      <c r="D5" s="2">
        <f t="shared" si="0"/>
        <v>5000</v>
      </c>
      <c r="E5" s="2">
        <v>5</v>
      </c>
      <c r="F5" s="2">
        <f t="shared" si="1"/>
        <v>25000</v>
      </c>
    </row>
    <row r="6" spans="1:6" x14ac:dyDescent="0.3">
      <c r="A6" s="20" t="s">
        <v>17</v>
      </c>
      <c r="B6" s="2">
        <v>1.5</v>
      </c>
      <c r="C6" s="2">
        <v>0</v>
      </c>
      <c r="D6" s="2">
        <f t="shared" si="0"/>
        <v>4500</v>
      </c>
      <c r="E6" s="2">
        <v>1</v>
      </c>
      <c r="F6" s="2">
        <f t="shared" si="1"/>
        <v>4500</v>
      </c>
    </row>
    <row r="7" spans="1:6" x14ac:dyDescent="0.3">
      <c r="A7" s="20" t="s">
        <v>18</v>
      </c>
      <c r="B7" s="2">
        <v>3</v>
      </c>
      <c r="C7" s="2">
        <v>500</v>
      </c>
      <c r="D7" s="2">
        <f t="shared" si="0"/>
        <v>9500</v>
      </c>
      <c r="E7" s="2">
        <v>2</v>
      </c>
      <c r="F7" s="2">
        <f t="shared" si="1"/>
        <v>19000</v>
      </c>
    </row>
    <row r="8" spans="1:6" x14ac:dyDescent="0.3">
      <c r="A8" s="20" t="s">
        <v>19</v>
      </c>
      <c r="B8" s="2">
        <v>3.5</v>
      </c>
      <c r="C8" s="2">
        <v>1000</v>
      </c>
      <c r="D8" s="2">
        <f t="shared" si="0"/>
        <v>11500</v>
      </c>
      <c r="E8" s="2">
        <v>1</v>
      </c>
      <c r="F8" s="2">
        <f t="shared" si="1"/>
        <v>11500</v>
      </c>
    </row>
    <row r="9" spans="1:6" x14ac:dyDescent="0.3">
      <c r="A9" s="20" t="s">
        <v>20</v>
      </c>
      <c r="B9" s="2">
        <v>4</v>
      </c>
      <c r="C9" s="2">
        <v>1000</v>
      </c>
      <c r="D9" s="2">
        <f t="shared" si="0"/>
        <v>13000</v>
      </c>
      <c r="E9" s="2">
        <v>2</v>
      </c>
      <c r="F9" s="2">
        <f t="shared" si="1"/>
        <v>26000</v>
      </c>
    </row>
    <row r="10" spans="1:6" x14ac:dyDescent="0.3">
      <c r="A10" s="20" t="s">
        <v>21</v>
      </c>
      <c r="B10" s="2">
        <v>5</v>
      </c>
      <c r="C10" s="2">
        <v>1500</v>
      </c>
      <c r="D10" s="2">
        <f t="shared" si="0"/>
        <v>16500</v>
      </c>
      <c r="E10" s="2">
        <v>1</v>
      </c>
      <c r="F10" s="2">
        <f t="shared" si="1"/>
        <v>16500</v>
      </c>
    </row>
    <row r="11" spans="1:6" x14ac:dyDescent="0.3">
      <c r="A11" s="20" t="s">
        <v>22</v>
      </c>
      <c r="B11" s="2">
        <v>6</v>
      </c>
      <c r="C11" s="2">
        <v>2000</v>
      </c>
      <c r="D11" s="2">
        <f t="shared" si="0"/>
        <v>20000</v>
      </c>
      <c r="E11" s="2">
        <v>1</v>
      </c>
      <c r="F11" s="2">
        <f t="shared" si="1"/>
        <v>20000</v>
      </c>
    </row>
    <row r="12" spans="1:6" x14ac:dyDescent="0.3">
      <c r="A12" s="20"/>
      <c r="B12" s="2"/>
      <c r="C12" s="17" t="s">
        <v>48</v>
      </c>
      <c r="D12" s="18"/>
      <c r="E12" s="19"/>
      <c r="F12" s="21">
        <f>SUM(F2:F11)</f>
        <v>151000</v>
      </c>
    </row>
    <row r="13" spans="1:6" x14ac:dyDescent="0.3">
      <c r="A13" s="20" t="s">
        <v>23</v>
      </c>
      <c r="B13" s="1">
        <v>3000</v>
      </c>
      <c r="C13" s="2"/>
      <c r="D13" s="2"/>
      <c r="E13" s="2"/>
      <c r="F13" s="2"/>
    </row>
  </sheetData>
  <mergeCells count="1">
    <mergeCell ref="C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03A-9846-48E5-95D6-9BEE87207E33}">
  <dimension ref="A1:H6"/>
  <sheetViews>
    <sheetView zoomScale="182" workbookViewId="0">
      <selection activeCell="B7" sqref="B7"/>
    </sheetView>
  </sheetViews>
  <sheetFormatPr defaultRowHeight="14.4" x14ac:dyDescent="0.3"/>
  <cols>
    <col min="8" max="8" width="20.88671875" customWidth="1"/>
  </cols>
  <sheetData>
    <row r="1" spans="1:8" x14ac:dyDescent="0.3">
      <c r="A1" s="14"/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45</v>
      </c>
      <c r="H1" s="14" t="s">
        <v>29</v>
      </c>
    </row>
    <row r="2" spans="1:8" x14ac:dyDescent="0.3">
      <c r="A2" s="14" t="s">
        <v>9</v>
      </c>
      <c r="B2" s="11">
        <v>0.5</v>
      </c>
      <c r="C2" s="11">
        <v>1</v>
      </c>
      <c r="D2" s="11">
        <v>1.7</v>
      </c>
      <c r="E2" s="11">
        <v>0.05</v>
      </c>
      <c r="F2" s="11">
        <v>1.1499999999999999</v>
      </c>
      <c r="G2" s="11">
        <v>56</v>
      </c>
      <c r="H2" s="11">
        <f>F2*G2</f>
        <v>64.399999999999991</v>
      </c>
    </row>
    <row r="3" spans="1:8" x14ac:dyDescent="0.3">
      <c r="A3" s="14" t="s">
        <v>24</v>
      </c>
      <c r="B3" s="11">
        <v>0.4</v>
      </c>
      <c r="C3" s="11">
        <v>2</v>
      </c>
      <c r="D3" s="11">
        <v>2</v>
      </c>
      <c r="E3" s="11">
        <v>0.04</v>
      </c>
      <c r="F3" s="11">
        <v>1.44</v>
      </c>
      <c r="G3" s="11">
        <v>72</v>
      </c>
      <c r="H3" s="11">
        <f>F3*G3</f>
        <v>103.67999999999999</v>
      </c>
    </row>
    <row r="4" spans="1:8" x14ac:dyDescent="0.3">
      <c r="A4" s="14" t="s">
        <v>30</v>
      </c>
      <c r="B4" s="11">
        <v>120</v>
      </c>
      <c r="C4" s="11">
        <v>200</v>
      </c>
      <c r="D4" s="11">
        <v>240</v>
      </c>
      <c r="E4" s="11">
        <v>70</v>
      </c>
      <c r="F4" s="11"/>
      <c r="G4" s="11"/>
      <c r="H4" s="11"/>
    </row>
    <row r="5" spans="1:8" x14ac:dyDescent="0.3">
      <c r="A5" s="14" t="s">
        <v>31</v>
      </c>
      <c r="B5" s="12">
        <f>B2*G2+B3*G3</f>
        <v>56.8</v>
      </c>
      <c r="C5" s="12">
        <f>G2+C3*G3</f>
        <v>200</v>
      </c>
      <c r="D5" s="12">
        <f>D2*G2+D3*G3</f>
        <v>239.2</v>
      </c>
      <c r="E5" s="12">
        <f>E2*G2+E3*G3</f>
        <v>5.68</v>
      </c>
      <c r="F5" s="16"/>
      <c r="G5" s="16"/>
      <c r="H5" s="2"/>
    </row>
    <row r="6" spans="1:8" x14ac:dyDescent="0.3">
      <c r="A6" s="13" t="s">
        <v>46</v>
      </c>
      <c r="B6" s="15"/>
      <c r="C6" s="15"/>
      <c r="D6" s="15"/>
      <c r="E6" s="15"/>
      <c r="F6" s="15"/>
      <c r="G6" s="15"/>
      <c r="H6" s="13">
        <f>H2+H3</f>
        <v>168.07999999999998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7B92-4A4A-46D6-8BFF-66F622670BD2}">
  <dimension ref="A2:H9"/>
  <sheetViews>
    <sheetView zoomScale="153" workbookViewId="0"/>
  </sheetViews>
  <sheetFormatPr defaultRowHeight="14.4" x14ac:dyDescent="0.3"/>
  <cols>
    <col min="1" max="1" width="19.77734375" customWidth="1"/>
    <col min="2" max="5" width="12.77734375" customWidth="1"/>
  </cols>
  <sheetData>
    <row r="2" spans="1:8" x14ac:dyDescent="0.3">
      <c r="A2" s="9" t="s">
        <v>41</v>
      </c>
      <c r="B2" s="4" t="s">
        <v>40</v>
      </c>
      <c r="C2" s="4"/>
      <c r="D2" s="4"/>
      <c r="E2" s="4"/>
      <c r="F2" s="4"/>
      <c r="G2" s="4"/>
      <c r="H2" s="4"/>
    </row>
    <row r="3" spans="1:8" x14ac:dyDescent="0.3">
      <c r="A3" s="9"/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12</v>
      </c>
      <c r="H3" s="5" t="s">
        <v>29</v>
      </c>
    </row>
    <row r="4" spans="1:8" x14ac:dyDescent="0.3">
      <c r="A4" s="5" t="s">
        <v>33</v>
      </c>
      <c r="B4" s="5">
        <v>0</v>
      </c>
      <c r="C4" s="5">
        <v>2</v>
      </c>
      <c r="D4" s="5">
        <v>1</v>
      </c>
      <c r="E4" s="5">
        <v>6</v>
      </c>
      <c r="F4" s="5">
        <v>50</v>
      </c>
      <c r="G4" s="5">
        <v>0</v>
      </c>
      <c r="H4" s="5">
        <f>G4*F4</f>
        <v>0</v>
      </c>
    </row>
    <row r="5" spans="1:8" x14ac:dyDescent="0.3">
      <c r="A5" s="5" t="s">
        <v>32</v>
      </c>
      <c r="B5" s="5">
        <v>1</v>
      </c>
      <c r="C5" s="5">
        <v>2</v>
      </c>
      <c r="D5" s="5">
        <v>2</v>
      </c>
      <c r="E5" s="5">
        <v>8</v>
      </c>
      <c r="F5" s="5">
        <v>90</v>
      </c>
      <c r="G5" s="5">
        <v>63</v>
      </c>
      <c r="H5" s="5">
        <f t="shared" ref="H5:H6" si="0">G5*F5</f>
        <v>5670</v>
      </c>
    </row>
    <row r="6" spans="1:8" x14ac:dyDescent="0.3">
      <c r="A6" s="5" t="s">
        <v>34</v>
      </c>
      <c r="B6" s="5">
        <v>0</v>
      </c>
      <c r="C6" s="5">
        <v>5</v>
      </c>
      <c r="D6" s="5">
        <v>2</v>
      </c>
      <c r="E6" s="5">
        <v>4</v>
      </c>
      <c r="F6" s="5">
        <v>45</v>
      </c>
      <c r="G6" s="5">
        <v>24</v>
      </c>
      <c r="H6" s="5">
        <f t="shared" si="0"/>
        <v>1080</v>
      </c>
    </row>
    <row r="7" spans="1:8" x14ac:dyDescent="0.3">
      <c r="A7" s="5" t="s">
        <v>43</v>
      </c>
      <c r="B7" s="5">
        <f>B5*G5</f>
        <v>63</v>
      </c>
      <c r="C7" s="5">
        <f>G4*C4+C5*G5+C6*G6</f>
        <v>246</v>
      </c>
      <c r="D7" s="5">
        <f>G4+D5*G5+D6*G6</f>
        <v>174</v>
      </c>
      <c r="E7" s="5">
        <f>E4*G4+E5*G5+E6*G6</f>
        <v>600</v>
      </c>
      <c r="F7" s="5"/>
      <c r="G7" s="5"/>
      <c r="H7" s="5"/>
    </row>
    <row r="8" spans="1:8" x14ac:dyDescent="0.3">
      <c r="A8" s="6" t="s">
        <v>44</v>
      </c>
      <c r="B8" s="6">
        <v>250</v>
      </c>
      <c r="C8" s="6">
        <v>800</v>
      </c>
      <c r="D8" s="6">
        <v>450</v>
      </c>
      <c r="E8" s="6">
        <v>600</v>
      </c>
      <c r="F8" s="8"/>
      <c r="G8" s="8"/>
      <c r="H8" s="2"/>
    </row>
    <row r="9" spans="1:8" x14ac:dyDescent="0.3">
      <c r="A9" s="7" t="s">
        <v>42</v>
      </c>
      <c r="B9" s="10"/>
      <c r="C9" s="10"/>
      <c r="D9" s="10"/>
      <c r="E9" s="10"/>
      <c r="F9" s="10"/>
      <c r="G9" s="10">
        <f>SUM(G4:G6)</f>
        <v>87</v>
      </c>
      <c r="H9" s="7">
        <f>SUM(H4:H6)</f>
        <v>6750</v>
      </c>
    </row>
  </sheetData>
  <mergeCells count="3">
    <mergeCell ref="A2:A3"/>
    <mergeCell ref="B2:E2"/>
    <mergeCell ref="F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1E72-E611-47FC-A607-981DBC3EF9E5}">
  <dimension ref="A1:F13"/>
  <sheetViews>
    <sheetView tabSelected="1" zoomScale="130" workbookViewId="0">
      <selection activeCell="E16" sqref="E16"/>
    </sheetView>
  </sheetViews>
  <sheetFormatPr defaultRowHeight="14.4" x14ac:dyDescent="0.3"/>
  <cols>
    <col min="1" max="2" width="10.33203125" customWidth="1"/>
  </cols>
  <sheetData>
    <row r="1" spans="1:6" x14ac:dyDescent="0.3">
      <c r="A1" s="14" t="s">
        <v>49</v>
      </c>
      <c r="B1" s="14" t="s">
        <v>55</v>
      </c>
      <c r="C1" s="14" t="s">
        <v>50</v>
      </c>
      <c r="D1" s="14" t="s">
        <v>51</v>
      </c>
      <c r="E1" s="14" t="s">
        <v>52</v>
      </c>
      <c r="F1" s="14" t="s">
        <v>53</v>
      </c>
    </row>
    <row r="2" spans="1:6" x14ac:dyDescent="0.3">
      <c r="A2" s="14" t="s">
        <v>9</v>
      </c>
      <c r="B2" s="12">
        <v>25</v>
      </c>
      <c r="C2" s="11">
        <v>2</v>
      </c>
      <c r="D2" s="11">
        <v>0</v>
      </c>
      <c r="E2" s="11">
        <v>0</v>
      </c>
      <c r="F2" s="24">
        <v>0</v>
      </c>
    </row>
    <row r="3" spans="1:6" x14ac:dyDescent="0.3">
      <c r="A3" s="14" t="s">
        <v>24</v>
      </c>
      <c r="B3" s="12">
        <v>50</v>
      </c>
      <c r="C3" s="11">
        <v>1</v>
      </c>
      <c r="D3" s="11">
        <v>1</v>
      </c>
      <c r="E3" s="11">
        <v>0</v>
      </c>
      <c r="F3" s="24">
        <v>1</v>
      </c>
    </row>
    <row r="4" spans="1:6" x14ac:dyDescent="0.3">
      <c r="A4" s="14" t="s">
        <v>62</v>
      </c>
      <c r="B4" s="12">
        <v>0</v>
      </c>
      <c r="C4" s="11">
        <v>1</v>
      </c>
      <c r="D4" s="11">
        <v>0</v>
      </c>
      <c r="E4" s="11">
        <v>1</v>
      </c>
      <c r="F4" s="24">
        <v>2</v>
      </c>
    </row>
    <row r="5" spans="1:6" x14ac:dyDescent="0.3">
      <c r="A5" s="14" t="s">
        <v>63</v>
      </c>
      <c r="B5" s="12">
        <v>0</v>
      </c>
      <c r="C5" s="11">
        <v>0</v>
      </c>
      <c r="D5" s="11">
        <v>2</v>
      </c>
      <c r="E5" s="11">
        <v>0</v>
      </c>
      <c r="F5" s="24">
        <v>2</v>
      </c>
    </row>
    <row r="6" spans="1:6" x14ac:dyDescent="0.3">
      <c r="A6" s="14" t="s">
        <v>64</v>
      </c>
      <c r="B6" s="12">
        <v>150</v>
      </c>
      <c r="C6" s="11">
        <v>0</v>
      </c>
      <c r="D6" s="11">
        <v>1</v>
      </c>
      <c r="E6" s="11">
        <v>2</v>
      </c>
      <c r="F6" s="24">
        <v>0</v>
      </c>
    </row>
    <row r="7" spans="1:6" x14ac:dyDescent="0.3">
      <c r="A7" s="14" t="s">
        <v>65</v>
      </c>
      <c r="B7" s="12">
        <v>0</v>
      </c>
      <c r="C7" s="11">
        <v>0</v>
      </c>
      <c r="D7" s="11">
        <v>0</v>
      </c>
      <c r="E7" s="11">
        <v>3</v>
      </c>
      <c r="F7" s="24">
        <v>0</v>
      </c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14" t="s">
        <v>59</v>
      </c>
      <c r="B9" s="5" t="s">
        <v>60</v>
      </c>
      <c r="C9" s="5" t="s">
        <v>61</v>
      </c>
      <c r="D9" s="3"/>
      <c r="E9" s="3"/>
      <c r="F9" s="3"/>
    </row>
    <row r="10" spans="1:6" x14ac:dyDescent="0.3">
      <c r="A10" s="14" t="s">
        <v>56</v>
      </c>
      <c r="B10" s="5">
        <f>B2*C2+B3+B4</f>
        <v>100</v>
      </c>
      <c r="C10" s="22">
        <v>100</v>
      </c>
      <c r="D10" s="3"/>
      <c r="E10" s="3"/>
      <c r="F10" s="3"/>
    </row>
    <row r="11" spans="1:6" x14ac:dyDescent="0.3">
      <c r="A11" s="14" t="s">
        <v>57</v>
      </c>
      <c r="B11" s="5">
        <f>B3*D3+B5*D5+B6*D6</f>
        <v>200</v>
      </c>
      <c r="C11" s="22">
        <v>200</v>
      </c>
      <c r="D11" s="3"/>
      <c r="E11" s="3"/>
      <c r="F11" s="3"/>
    </row>
    <row r="12" spans="1:6" x14ac:dyDescent="0.3">
      <c r="A12" s="14" t="s">
        <v>58</v>
      </c>
      <c r="B12" s="5">
        <f>B4*E4+B6*E6+B7*E7</f>
        <v>300</v>
      </c>
      <c r="C12" s="22">
        <v>300</v>
      </c>
      <c r="D12" s="3"/>
      <c r="E12" s="3"/>
      <c r="F12" s="3"/>
    </row>
    <row r="13" spans="1:6" x14ac:dyDescent="0.3">
      <c r="A13" s="23" t="s">
        <v>54</v>
      </c>
      <c r="B13" s="23">
        <f>SUM(B2:B7)</f>
        <v>225</v>
      </c>
      <c r="C13" s="3"/>
      <c r="D13" s="3"/>
      <c r="E13" s="3"/>
      <c r="F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medve</dc:creator>
  <cp:lastModifiedBy>medvedpro24@gmail.com</cp:lastModifiedBy>
  <dcterms:created xsi:type="dcterms:W3CDTF">2015-06-05T18:19:34Z</dcterms:created>
  <dcterms:modified xsi:type="dcterms:W3CDTF">2026-02-07T13:53:02Z</dcterms:modified>
</cp:coreProperties>
</file>